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e\Desktop\"/>
    </mc:Choice>
  </mc:AlternateContent>
  <xr:revisionPtr revIDLastSave="0" documentId="13_ncr:1_{753FC2B3-1F1D-4727-97EE-9AB06ADA61B5}" xr6:coauthVersionLast="47" xr6:coauthVersionMax="47" xr10:uidLastSave="{00000000-0000-0000-0000-000000000000}"/>
  <bookViews>
    <workbookView xWindow="-108" yWindow="-108" windowWidth="23256" windowHeight="12456" xr2:uid="{8D891B1C-0BB5-4161-8C58-A054CD30ABA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17" i="1"/>
  <c r="D15" i="1"/>
  <c r="V32" i="1"/>
  <c r="S31" i="1"/>
  <c r="S30" i="1"/>
  <c r="S29" i="1"/>
  <c r="V21" i="1"/>
  <c r="V22" i="1"/>
  <c r="V23" i="1"/>
  <c r="V24" i="1"/>
  <c r="V25" i="1"/>
  <c r="V26" i="1"/>
  <c r="V27" i="1"/>
  <c r="V20" i="1"/>
  <c r="D14" i="1"/>
  <c r="D11" i="1"/>
  <c r="V19" i="1"/>
  <c r="V28" i="1"/>
  <c r="S27" i="1"/>
  <c r="S26" i="1"/>
  <c r="S25" i="1"/>
  <c r="S24" i="1"/>
  <c r="S23" i="1"/>
  <c r="S22" i="1"/>
  <c r="S21" i="1"/>
  <c r="S20" i="1"/>
  <c r="F11" i="1"/>
  <c r="V11" i="1"/>
  <c r="V12" i="1"/>
  <c r="V18" i="1"/>
  <c r="V14" i="1"/>
  <c r="V15" i="1"/>
  <c r="V16" i="1"/>
  <c r="V17" i="1"/>
  <c r="S18" i="1"/>
  <c r="S17" i="1"/>
  <c r="S16" i="1"/>
  <c r="S15" i="1"/>
  <c r="S14" i="1"/>
  <c r="V13" i="1"/>
  <c r="S13" i="1"/>
  <c r="S12" i="1"/>
  <c r="S11" i="1"/>
  <c r="F12" i="1"/>
  <c r="F13" i="1"/>
  <c r="F14" i="1"/>
  <c r="F15" i="1"/>
  <c r="F16" i="1"/>
  <c r="F17" i="1"/>
  <c r="F18" i="1"/>
  <c r="F19" i="1"/>
  <c r="F20" i="1"/>
  <c r="F21" i="1" l="1"/>
  <c r="F22" i="1" s="1"/>
  <c r="F23" i="1" s="1"/>
</calcChain>
</file>

<file path=xl/sharedStrings.xml><?xml version="1.0" encoding="utf-8"?>
<sst xmlns="http://schemas.openxmlformats.org/spreadsheetml/2006/main" count="121" uniqueCount="76">
  <si>
    <t>RUBRO</t>
  </si>
  <si>
    <t>UNIDAD</t>
  </si>
  <si>
    <t>CANTIDAD</t>
  </si>
  <si>
    <t>PRECIO UNITARIO (PU) (Gs.)</t>
  </si>
  <si>
    <t>PRECIO PARCIAL (Gs.)</t>
  </si>
  <si>
    <t>ESTRUCTURA PORTANTE</t>
  </si>
  <si>
    <t>Excavación para zapata</t>
  </si>
  <si>
    <t>m3</t>
  </si>
  <si>
    <t>Sello de fundación</t>
  </si>
  <si>
    <t>Fuste de Hormigón Armado</t>
  </si>
  <si>
    <t>ml</t>
  </si>
  <si>
    <t>Zapata de hormigón Armado</t>
  </si>
  <si>
    <t>Vigas de fundación de Hormigón armado</t>
  </si>
  <si>
    <t>Pilares de Hormigón Armado</t>
  </si>
  <si>
    <t>Vigas de Hormigón Armado</t>
  </si>
  <si>
    <t>Losa RAP</t>
  </si>
  <si>
    <t>m2</t>
  </si>
  <si>
    <t>Cimiento de CPBC</t>
  </si>
  <si>
    <t>Excavación para vigas de fundación</t>
  </si>
  <si>
    <t xml:space="preserve">PROPIETARIO : </t>
  </si>
  <si>
    <t xml:space="preserve">DIRECCIÓN : </t>
  </si>
  <si>
    <t>CTA. CTE. CTAL.:</t>
  </si>
  <si>
    <t xml:space="preserve">PROFESIONAL : </t>
  </si>
  <si>
    <t xml:space="preserve">PATENTE Nº: </t>
  </si>
  <si>
    <t xml:space="preserve">UBICACION : 
</t>
  </si>
  <si>
    <t>SUP. TERRENO : SUP. A CONSTRUIR:</t>
  </si>
  <si>
    <t>PLANILLA DE PRESUPUESTO MANO DE OBRA</t>
  </si>
  <si>
    <t>ÍTEMS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</si>
  <si>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</si>
  <si>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</si>
  <si>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</si>
  <si>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</si>
  <si>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</si>
  <si>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</si>
  <si>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</si>
  <si>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</si>
  <si>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</si>
  <si>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</si>
  <si>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Total</t>
  </si>
  <si>
    <t>IVA</t>
  </si>
  <si>
    <t>Total + IVA</t>
  </si>
  <si>
    <t>Rubro</t>
  </si>
  <si>
    <t xml:space="preserve">Unidad </t>
  </si>
  <si>
    <t>Cantidad</t>
  </si>
  <si>
    <t>N°</t>
  </si>
  <si>
    <t>Z1</t>
  </si>
  <si>
    <t>L</t>
  </si>
  <si>
    <t>A</t>
  </si>
  <si>
    <t>H</t>
  </si>
  <si>
    <t>M3</t>
  </si>
  <si>
    <t>M2</t>
  </si>
  <si>
    <t>ML</t>
  </si>
  <si>
    <t>TOTAL</t>
  </si>
  <si>
    <t>Z2</t>
  </si>
  <si>
    <t>Z3</t>
  </si>
  <si>
    <t>Z4</t>
  </si>
  <si>
    <t>Z5</t>
  </si>
  <si>
    <t>Z6</t>
  </si>
  <si>
    <t>Z7</t>
  </si>
  <si>
    <t>Z8</t>
  </si>
  <si>
    <t>Zapatas</t>
  </si>
  <si>
    <t>COMPUTO METRICO</t>
  </si>
  <si>
    <t>Pilares</t>
  </si>
  <si>
    <t>P1</t>
  </si>
  <si>
    <t>P2</t>
  </si>
  <si>
    <t>P3</t>
  </si>
  <si>
    <t>P4</t>
  </si>
  <si>
    <t>P5</t>
  </si>
  <si>
    <t>P6</t>
  </si>
  <si>
    <t>P7</t>
  </si>
  <si>
    <t>P8</t>
  </si>
  <si>
    <t>VIGAS</t>
  </si>
  <si>
    <t>V1</t>
  </si>
  <si>
    <t>V2</t>
  </si>
  <si>
    <t>V3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</si>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</sst>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₲-3C0A]\ * #,##0.00_ ;_ [$₲-3C0A]\ * \-#,##0.00_ ;_ [$₲-3C0A]\ * &quot;-&quot;??_ ;_ @_ "/>
    <numFmt numFmtId="165" formatCode="_ [$₲-3C0A]\ * #,##0_ ;_ [$₲-3C0A]\ * \-#,##0_ ;_ [$₲-3C0A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" fontId="2" fillId="0" borderId="2" xfId="0" applyNumberFormat="1" applyFont="1" applyBorder="1" applyAlignment="1">
      <alignment horizontal="right"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6" fillId="0" borderId="0" xfId="0" applyFont="1" applyAlignment="1">
      <alignment horizontal="center" vertical="center"/>
    </xf>
    <xf numFmtId="0" fontId="0" fillId="5" borderId="0" xfId="0" applyFill="1"/>
    <xf numFmtId="0" fontId="2" fillId="6" borderId="1" xfId="0" applyFont="1" applyFill="1" applyBorder="1" applyAlignment="1">
      <alignment horizontal="right" wrapText="1"/>
    </xf>
    <xf numFmtId="0" fontId="2" fillId="6" borderId="2" xfId="0" applyFont="1" applyFill="1" applyBorder="1" applyAlignment="1">
      <alignment wrapText="1"/>
    </xf>
    <xf numFmtId="0" fontId="2" fillId="6" borderId="2" xfId="0" applyFont="1" applyFill="1" applyBorder="1" applyAlignment="1">
      <alignment horizontal="center" wrapText="1"/>
    </xf>
    <xf numFmtId="1" fontId="2" fillId="6" borderId="2" xfId="0" applyNumberFormat="1" applyFont="1" applyFill="1" applyBorder="1" applyAlignment="1">
      <alignment horizontal="right" wrapText="1"/>
    </xf>
    <xf numFmtId="165" fontId="2" fillId="6" borderId="2" xfId="0" applyNumberFormat="1" applyFont="1" applyFill="1" applyBorder="1" applyAlignment="1">
      <alignment horizontal="right" wrapText="1"/>
    </xf>
    <xf numFmtId="164" fontId="2" fillId="6" borderId="2" xfId="0" applyNumberFormat="1" applyFont="1" applyFill="1" applyBorder="1" applyAlignment="1">
      <alignment horizontal="right" wrapText="1"/>
    </xf>
    <xf numFmtId="2" fontId="0" fillId="0" borderId="0" xfId="0" applyNumberFormat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DBBE-538E-4B31-8C8E-40BD2F8BD7F6}">
  <dimension ref="A1:V33"/>
  <sheetViews>
    <sheetView tabSelected="1" topLeftCell="A9" zoomScale="80" zoomScaleNormal="80" workbookViewId="0">
      <selection activeCell="G24" sqref="G24"/>
    </sheetView>
  </sheetViews>
  <sheetFormatPr baseColWidth="10" defaultRowHeight="14.4" x14ac:dyDescent="0.3"/>
  <cols>
    <col min="1" max="1" width="11.5546875" customWidth="1"/>
    <col min="2" max="2" width="27.5546875" customWidth="1"/>
    <col min="4" max="4" width="14.5546875" bestFit="1" customWidth="1"/>
    <col min="5" max="5" width="13.21875" bestFit="1" customWidth="1"/>
    <col min="6" max="6" width="15.77734375" bestFit="1" customWidth="1"/>
  </cols>
  <sheetData>
    <row r="1" spans="1:22" ht="15" customHeight="1" thickBot="1" x14ac:dyDescent="0.35">
      <c r="A1" s="4" t="s">
        <v>24</v>
      </c>
      <c r="B1" s="5"/>
      <c r="C1" s="5"/>
      <c r="D1" s="6"/>
    </row>
    <row r="2" spans="1:22" x14ac:dyDescent="0.3">
      <c r="A2" t="s">
        <v>19</v>
      </c>
    </row>
    <row r="3" spans="1:22" x14ac:dyDescent="0.3">
      <c r="A3" t="s">
        <v>20</v>
      </c>
      <c r="D3" t="s">
        <v>21</v>
      </c>
    </row>
    <row r="4" spans="1:22" x14ac:dyDescent="0.3">
      <c r="A4" t="s">
        <v>22</v>
      </c>
      <c r="D4" t="s">
        <v>23</v>
      </c>
    </row>
    <row r="5" spans="1:22" x14ac:dyDescent="0.3">
      <c r="A5" t="s">
        <v>20</v>
      </c>
    </row>
    <row r="6" spans="1:22" x14ac:dyDescent="0.3">
      <c r="A6" t="s">
        <v>25</v>
      </c>
    </row>
    <row r="7" spans="1:22" ht="15" thickBot="1" x14ac:dyDescent="0.35"/>
    <row r="8" spans="1:22" ht="17.399999999999999" thickBot="1" x14ac:dyDescent="0.35">
      <c r="A8" s="16" t="s">
        <v>26</v>
      </c>
      <c r="B8" s="17"/>
      <c r="C8" s="17"/>
      <c r="D8" s="17"/>
      <c r="E8" s="17"/>
      <c r="F8" s="18"/>
    </row>
    <row r="9" spans="1:22" ht="46.8" thickBot="1" x14ac:dyDescent="0.35">
      <c r="A9" s="7" t="s">
        <v>27</v>
      </c>
      <c r="B9" s="8" t="s">
        <v>0</v>
      </c>
      <c r="C9" s="8" t="s">
        <v>1</v>
      </c>
      <c r="D9" s="8" t="s">
        <v>2</v>
      </c>
      <c r="E9" s="8" t="s">
        <v>3</v>
      </c>
      <c r="F9" s="8" t="s">
        <v>4</v>
      </c>
      <c r="L9" s="22" t="s">
        <v>61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15" thickBot="1" x14ac:dyDescent="0.35">
      <c r="A10" s="9">
        <v>1.1000000000000001</v>
      </c>
      <c r="B10" s="19" t="s">
        <v>5</v>
      </c>
      <c r="C10" s="20"/>
      <c r="D10" s="20"/>
      <c r="E10" s="20"/>
      <c r="F10" s="21"/>
      <c r="L10" s="23" t="s">
        <v>41</v>
      </c>
      <c r="M10" s="23" t="s">
        <v>44</v>
      </c>
      <c r="N10" s="23" t="s">
        <v>43</v>
      </c>
      <c r="O10" s="23" t="s">
        <v>42</v>
      </c>
      <c r="P10" s="23" t="s">
        <v>46</v>
      </c>
      <c r="Q10" s="23" t="s">
        <v>47</v>
      </c>
      <c r="R10" s="23" t="s">
        <v>48</v>
      </c>
      <c r="S10" s="23" t="s">
        <v>49</v>
      </c>
      <c r="T10" s="23" t="s">
        <v>50</v>
      </c>
      <c r="U10" s="23" t="s">
        <v>51</v>
      </c>
      <c r="V10" s="23" t="s">
        <v>52</v>
      </c>
    </row>
    <row r="11" spans="1:22" ht="27.6" thickBot="1" x14ac:dyDescent="0.35">
      <c r="A11" s="10" t="s">
        <v>28</v>
      </c>
      <c r="B11" s="3" t="s">
        <v>6</v>
      </c>
      <c r="C11" s="1" t="s">
        <v>7</v>
      </c>
      <c r="D11" s="15">
        <f>V19</f>
        <v>14.186000000000002</v>
      </c>
      <c r="E11" s="14">
        <v>90000</v>
      </c>
      <c r="F11" s="13">
        <f>D11*E11</f>
        <v>1276740.0000000002</v>
      </c>
      <c r="H11" s="3" t="s">
        <v>6</v>
      </c>
      <c r="J11" s="3" t="s">
        <v>6</v>
      </c>
      <c r="L11" t="s">
        <v>60</v>
      </c>
      <c r="M11" t="s">
        <v>45</v>
      </c>
      <c r="N11">
        <v>1</v>
      </c>
      <c r="O11" t="s">
        <v>7</v>
      </c>
      <c r="P11">
        <v>1.25</v>
      </c>
      <c r="Q11">
        <v>1.4</v>
      </c>
      <c r="R11">
        <v>0.35</v>
      </c>
      <c r="S11" s="30">
        <f>P11*Q11*R11</f>
        <v>0.61249999999999993</v>
      </c>
      <c r="V11" s="30">
        <f>S11*N11</f>
        <v>0.61249999999999993</v>
      </c>
    </row>
    <row r="12" spans="1:22" ht="40.799999999999997" thickBot="1" x14ac:dyDescent="0.35">
      <c r="A12" s="24" t="s">
        <v>29</v>
      </c>
      <c r="B12" s="25" t="s">
        <v>8</v>
      </c>
      <c r="C12" s="26" t="s">
        <v>7</v>
      </c>
      <c r="D12" s="27">
        <v>0</v>
      </c>
      <c r="E12" s="28">
        <v>350000</v>
      </c>
      <c r="F12" s="29">
        <f t="shared" ref="F12:F20" si="0">D12*E12</f>
        <v>0</v>
      </c>
      <c r="H12" s="3" t="s">
        <v>18</v>
      </c>
      <c r="J12" s="3" t="s">
        <v>8</v>
      </c>
      <c r="M12" t="s">
        <v>53</v>
      </c>
      <c r="N12">
        <v>1</v>
      </c>
      <c r="O12" t="s">
        <v>7</v>
      </c>
      <c r="P12">
        <v>1.25</v>
      </c>
      <c r="Q12">
        <v>1.5</v>
      </c>
      <c r="R12">
        <v>0.3</v>
      </c>
      <c r="S12" s="30">
        <f>P12*Q12*R12</f>
        <v>0.5625</v>
      </c>
      <c r="V12" s="30">
        <f>S12*N12</f>
        <v>0.5625</v>
      </c>
    </row>
    <row r="13" spans="1:22" ht="40.799999999999997" thickBot="1" x14ac:dyDescent="0.35">
      <c r="A13" s="24" t="s">
        <v>30</v>
      </c>
      <c r="B13" s="25" t="s">
        <v>9</v>
      </c>
      <c r="C13" s="26" t="s">
        <v>10</v>
      </c>
      <c r="D13" s="27">
        <v>0</v>
      </c>
      <c r="E13" s="28">
        <v>120000</v>
      </c>
      <c r="F13" s="29">
        <f t="shared" si="0"/>
        <v>0</v>
      </c>
      <c r="H13" s="3" t="s">
        <v>11</v>
      </c>
      <c r="J13" s="3" t="s">
        <v>11</v>
      </c>
      <c r="M13" t="s">
        <v>54</v>
      </c>
      <c r="N13">
        <v>34</v>
      </c>
      <c r="O13" t="s">
        <v>7</v>
      </c>
      <c r="P13">
        <v>1</v>
      </c>
      <c r="Q13">
        <v>1</v>
      </c>
      <c r="R13">
        <v>0.3</v>
      </c>
      <c r="S13" s="30">
        <f>P13*Q13*R13</f>
        <v>0.3</v>
      </c>
      <c r="V13" s="30">
        <f>S13*N13</f>
        <v>10.199999999999999</v>
      </c>
    </row>
    <row r="14" spans="1:22" ht="40.799999999999997" thickBot="1" x14ac:dyDescent="0.35">
      <c r="A14" s="10" t="s">
        <v>31</v>
      </c>
      <c r="B14" s="3" t="s">
        <v>11</v>
      </c>
      <c r="C14" s="1" t="s">
        <v>7</v>
      </c>
      <c r="D14" s="15">
        <f>V19</f>
        <v>14.186000000000002</v>
      </c>
      <c r="E14" s="14">
        <v>900000</v>
      </c>
      <c r="F14" s="13">
        <f t="shared" si="0"/>
        <v>12767400.000000002</v>
      </c>
      <c r="J14" s="3" t="s">
        <v>9</v>
      </c>
      <c r="M14" t="s">
        <v>55</v>
      </c>
      <c r="N14">
        <v>1</v>
      </c>
      <c r="O14" t="s">
        <v>7</v>
      </c>
      <c r="P14">
        <v>1.45</v>
      </c>
      <c r="Q14">
        <v>1.1000000000000001</v>
      </c>
      <c r="R14">
        <v>0.3</v>
      </c>
      <c r="S14" s="30">
        <f>P14*Q14*R14</f>
        <v>0.47849999999999998</v>
      </c>
      <c r="V14" s="30">
        <f t="shared" ref="V14:V17" si="1">S14*N14</f>
        <v>0.47849999999999998</v>
      </c>
    </row>
    <row r="15" spans="1:22" ht="40.799999999999997" thickBot="1" x14ac:dyDescent="0.35">
      <c r="A15" s="10" t="s">
        <v>32</v>
      </c>
      <c r="B15" s="3" t="s">
        <v>12</v>
      </c>
      <c r="C15" s="1" t="s">
        <v>7</v>
      </c>
      <c r="D15" s="15">
        <f>V32</f>
        <v>18.454050000000002</v>
      </c>
      <c r="E15" s="14">
        <v>120000</v>
      </c>
      <c r="F15" s="13">
        <f t="shared" si="0"/>
        <v>2214486.0000000005</v>
      </c>
      <c r="J15" s="3" t="s">
        <v>18</v>
      </c>
      <c r="M15" t="s">
        <v>56</v>
      </c>
      <c r="N15">
        <v>2</v>
      </c>
      <c r="O15" t="s">
        <v>7</v>
      </c>
      <c r="P15">
        <v>1.1000000000000001</v>
      </c>
      <c r="Q15">
        <v>1.1000000000000001</v>
      </c>
      <c r="R15">
        <v>0.3</v>
      </c>
      <c r="S15" s="30">
        <f>P15*Q15*R15</f>
        <v>0.36300000000000004</v>
      </c>
      <c r="V15" s="30">
        <f t="shared" si="1"/>
        <v>0.72600000000000009</v>
      </c>
    </row>
    <row r="16" spans="1:22" ht="54" thickBot="1" x14ac:dyDescent="0.35">
      <c r="A16" s="10" t="s">
        <v>33</v>
      </c>
      <c r="B16" s="3" t="s">
        <v>13</v>
      </c>
      <c r="C16" s="1" t="s">
        <v>10</v>
      </c>
      <c r="D16" s="15">
        <v>123</v>
      </c>
      <c r="E16" s="14">
        <v>120000</v>
      </c>
      <c r="F16" s="13">
        <f t="shared" si="0"/>
        <v>14760000</v>
      </c>
      <c r="J16" s="3" t="s">
        <v>12</v>
      </c>
      <c r="M16" t="s">
        <v>57</v>
      </c>
      <c r="N16">
        <v>2</v>
      </c>
      <c r="O16" t="s">
        <v>7</v>
      </c>
      <c r="P16">
        <v>1.05</v>
      </c>
      <c r="Q16">
        <v>1.05</v>
      </c>
      <c r="R16">
        <v>0.3</v>
      </c>
      <c r="S16" s="30">
        <f>P16*Q16*R16</f>
        <v>0.33074999999999999</v>
      </c>
      <c r="V16" s="30">
        <f t="shared" si="1"/>
        <v>0.66149999999999998</v>
      </c>
    </row>
    <row r="17" spans="1:22" ht="40.799999999999997" thickBot="1" x14ac:dyDescent="0.35">
      <c r="A17" s="24" t="s">
        <v>34</v>
      </c>
      <c r="B17" s="25" t="s">
        <v>14</v>
      </c>
      <c r="C17" s="26" t="s">
        <v>10</v>
      </c>
      <c r="D17" s="27">
        <f>V32</f>
        <v>18.454050000000002</v>
      </c>
      <c r="E17" s="28">
        <v>130000</v>
      </c>
      <c r="F17" s="29">
        <f t="shared" si="0"/>
        <v>2399026.5000000005</v>
      </c>
      <c r="J17" s="3" t="s">
        <v>13</v>
      </c>
      <c r="M17" t="s">
        <v>58</v>
      </c>
      <c r="N17">
        <v>1</v>
      </c>
      <c r="O17" t="s">
        <v>7</v>
      </c>
      <c r="P17">
        <v>2.5</v>
      </c>
      <c r="Q17">
        <v>0.7</v>
      </c>
      <c r="R17">
        <v>0.3</v>
      </c>
      <c r="S17" s="30">
        <f>P17*Q17*R17</f>
        <v>0.52500000000000002</v>
      </c>
      <c r="V17" s="30">
        <f t="shared" si="1"/>
        <v>0.52500000000000002</v>
      </c>
    </row>
    <row r="18" spans="1:22" ht="40.799999999999997" thickBot="1" x14ac:dyDescent="0.35">
      <c r="A18" s="10" t="s">
        <v>35</v>
      </c>
      <c r="B18" s="3" t="s">
        <v>15</v>
      </c>
      <c r="C18" s="1" t="s">
        <v>16</v>
      </c>
      <c r="D18" s="15">
        <v>96.9</v>
      </c>
      <c r="E18" s="14">
        <v>220000</v>
      </c>
      <c r="F18" s="13">
        <f t="shared" si="0"/>
        <v>21318000</v>
      </c>
      <c r="J18" s="3" t="s">
        <v>14</v>
      </c>
      <c r="M18" t="s">
        <v>59</v>
      </c>
      <c r="N18">
        <v>1</v>
      </c>
      <c r="O18" t="s">
        <v>7</v>
      </c>
      <c r="P18">
        <v>2</v>
      </c>
      <c r="Q18">
        <v>0.7</v>
      </c>
      <c r="R18">
        <v>0.3</v>
      </c>
      <c r="S18" s="30">
        <f>P18*Q18*R18</f>
        <v>0.42</v>
      </c>
      <c r="V18" s="30">
        <f>S18*N18</f>
        <v>0.42</v>
      </c>
    </row>
    <row r="19" spans="1:22" ht="15" thickBot="1" x14ac:dyDescent="0.35">
      <c r="A19" s="24" t="s">
        <v>36</v>
      </c>
      <c r="B19" s="25" t="s">
        <v>17</v>
      </c>
      <c r="C19" s="26" t="s">
        <v>7</v>
      </c>
      <c r="D19" s="27">
        <v>0</v>
      </c>
      <c r="E19" s="28">
        <v>180000</v>
      </c>
      <c r="F19" s="29">
        <f t="shared" si="0"/>
        <v>0</v>
      </c>
      <c r="J19" s="3" t="s">
        <v>15</v>
      </c>
      <c r="L19" s="23" t="s">
        <v>52</v>
      </c>
      <c r="M19" s="23"/>
      <c r="N19" s="23"/>
      <c r="O19" s="23"/>
      <c r="P19" s="23"/>
      <c r="Q19" s="23"/>
      <c r="R19" s="23"/>
      <c r="S19" s="23"/>
      <c r="T19" s="23"/>
      <c r="U19" s="23"/>
      <c r="V19" s="31">
        <f>SUM(V11:V18)</f>
        <v>14.186000000000002</v>
      </c>
    </row>
    <row r="20" spans="1:22" ht="27.6" thickBot="1" x14ac:dyDescent="0.35">
      <c r="A20" s="10" t="s">
        <v>37</v>
      </c>
      <c r="B20" s="3" t="s">
        <v>18</v>
      </c>
      <c r="C20" s="1" t="s">
        <v>7</v>
      </c>
      <c r="D20" s="15">
        <f>V32</f>
        <v>18.454050000000002</v>
      </c>
      <c r="E20" s="14">
        <v>85000</v>
      </c>
      <c r="F20" s="13">
        <f t="shared" si="0"/>
        <v>1568594.2500000002</v>
      </c>
      <c r="J20" s="3" t="s">
        <v>17</v>
      </c>
      <c r="L20" t="s">
        <v>62</v>
      </c>
      <c r="M20" t="s">
        <v>63</v>
      </c>
      <c r="N20">
        <v>22</v>
      </c>
      <c r="O20" t="s">
        <v>51</v>
      </c>
      <c r="P20">
        <v>0.15</v>
      </c>
      <c r="Q20">
        <v>0.45</v>
      </c>
      <c r="R20">
        <v>3</v>
      </c>
      <c r="S20" s="30">
        <f>P20*Q20*R20</f>
        <v>0.20250000000000001</v>
      </c>
      <c r="V20">
        <f>R20*N20</f>
        <v>66</v>
      </c>
    </row>
    <row r="21" spans="1:22" ht="15" thickBot="1" x14ac:dyDescent="0.35">
      <c r="A21" s="11" t="s">
        <v>38</v>
      </c>
      <c r="B21" s="2"/>
      <c r="C21" s="2"/>
      <c r="D21" s="2"/>
      <c r="E21" s="3"/>
      <c r="F21" s="13">
        <f>SUM(F11:F20)</f>
        <v>56304246.75</v>
      </c>
      <c r="M21" t="s">
        <v>64</v>
      </c>
      <c r="N21">
        <v>5</v>
      </c>
      <c r="O21" t="s">
        <v>51</v>
      </c>
      <c r="P21">
        <v>0.15</v>
      </c>
      <c r="Q21" s="30">
        <v>0.4</v>
      </c>
      <c r="R21">
        <v>3</v>
      </c>
      <c r="S21" s="30">
        <f>P21*Q21*R21</f>
        <v>0.18</v>
      </c>
      <c r="V21">
        <f>R21*N21</f>
        <v>15</v>
      </c>
    </row>
    <row r="22" spans="1:22" ht="15" thickBot="1" x14ac:dyDescent="0.35">
      <c r="A22" s="11" t="s">
        <v>39</v>
      </c>
      <c r="B22" s="2"/>
      <c r="C22" s="2"/>
      <c r="D22" s="2"/>
      <c r="E22" s="3"/>
      <c r="F22" s="13">
        <f>F21/11</f>
        <v>5118567.8863636367</v>
      </c>
      <c r="M22" t="s">
        <v>65</v>
      </c>
      <c r="N22">
        <v>6</v>
      </c>
      <c r="O22" t="s">
        <v>51</v>
      </c>
      <c r="P22">
        <v>0.15</v>
      </c>
      <c r="Q22">
        <v>0.55000000000000004</v>
      </c>
      <c r="R22">
        <v>3</v>
      </c>
      <c r="S22" s="30">
        <f>P22*Q22*R22</f>
        <v>0.2475</v>
      </c>
      <c r="V22">
        <f t="shared" ref="V21:V27" si="2">R22*N22</f>
        <v>18</v>
      </c>
    </row>
    <row r="23" spans="1:22" ht="15" thickBot="1" x14ac:dyDescent="0.35">
      <c r="A23" s="12" t="s">
        <v>40</v>
      </c>
      <c r="B23" s="2"/>
      <c r="C23" s="2"/>
      <c r="D23" s="2"/>
      <c r="E23" s="3"/>
      <c r="F23" s="13">
        <f>F21+F22</f>
        <v>61422814.63636364</v>
      </c>
      <c r="M23" t="s">
        <v>66</v>
      </c>
      <c r="N23">
        <v>2</v>
      </c>
      <c r="O23" t="s">
        <v>51</v>
      </c>
      <c r="P23">
        <v>0.15</v>
      </c>
      <c r="Q23">
        <v>0.35</v>
      </c>
      <c r="R23">
        <v>3</v>
      </c>
      <c r="S23" s="30">
        <f>P23*Q23*R23</f>
        <v>0.1575</v>
      </c>
      <c r="V23">
        <f t="shared" si="2"/>
        <v>6</v>
      </c>
    </row>
    <row r="24" spans="1:22" x14ac:dyDescent="0.3">
      <c r="M24" t="s">
        <v>67</v>
      </c>
      <c r="N24">
        <v>1</v>
      </c>
      <c r="O24" t="s">
        <v>51</v>
      </c>
      <c r="P24">
        <v>0.4</v>
      </c>
      <c r="Q24" s="30">
        <v>0.4</v>
      </c>
      <c r="R24">
        <v>3</v>
      </c>
      <c r="S24" s="30">
        <f>P24*Q24*R24</f>
        <v>0.48000000000000009</v>
      </c>
      <c r="V24">
        <f t="shared" si="2"/>
        <v>3</v>
      </c>
    </row>
    <row r="25" spans="1:22" x14ac:dyDescent="0.3">
      <c r="M25" t="s">
        <v>68</v>
      </c>
      <c r="N25">
        <v>1</v>
      </c>
      <c r="O25" t="s">
        <v>51</v>
      </c>
      <c r="P25">
        <v>0.2</v>
      </c>
      <c r="Q25" s="30">
        <v>0.5</v>
      </c>
      <c r="R25">
        <v>3</v>
      </c>
      <c r="S25" s="30">
        <f>P25*Q25*R25</f>
        <v>0.30000000000000004</v>
      </c>
      <c r="V25">
        <f t="shared" si="2"/>
        <v>3</v>
      </c>
    </row>
    <row r="26" spans="1:22" x14ac:dyDescent="0.3">
      <c r="M26" t="s">
        <v>69</v>
      </c>
      <c r="N26">
        <v>3</v>
      </c>
      <c r="O26" t="s">
        <v>51</v>
      </c>
      <c r="P26">
        <v>0.15</v>
      </c>
      <c r="Q26" s="30">
        <v>0.6</v>
      </c>
      <c r="R26">
        <v>3</v>
      </c>
      <c r="S26" s="30">
        <f>P26*Q26*R26</f>
        <v>0.27</v>
      </c>
      <c r="V26">
        <f t="shared" si="2"/>
        <v>9</v>
      </c>
    </row>
    <row r="27" spans="1:22" x14ac:dyDescent="0.3">
      <c r="M27" t="s">
        <v>70</v>
      </c>
      <c r="N27">
        <v>1</v>
      </c>
      <c r="O27" t="s">
        <v>51</v>
      </c>
      <c r="P27">
        <v>0.15</v>
      </c>
      <c r="Q27">
        <v>0.25</v>
      </c>
      <c r="R27">
        <v>3</v>
      </c>
      <c r="S27" s="30">
        <f>P27*Q27*R27</f>
        <v>0.11249999999999999</v>
      </c>
      <c r="V27">
        <f t="shared" si="2"/>
        <v>3</v>
      </c>
    </row>
    <row r="28" spans="1:22" x14ac:dyDescent="0.3">
      <c r="L28" s="23" t="s">
        <v>52</v>
      </c>
      <c r="M28" s="23"/>
      <c r="N28" s="23"/>
      <c r="O28" s="23"/>
      <c r="P28" s="23"/>
      <c r="Q28" s="23"/>
      <c r="R28" s="23"/>
      <c r="S28" s="23"/>
      <c r="T28" s="23"/>
      <c r="U28" s="23"/>
      <c r="V28" s="23">
        <f>SUM(V20:V27)</f>
        <v>123</v>
      </c>
    </row>
    <row r="29" spans="1:22" x14ac:dyDescent="0.3">
      <c r="L29" t="s">
        <v>71</v>
      </c>
      <c r="M29" t="s">
        <v>72</v>
      </c>
      <c r="O29" t="s">
        <v>7</v>
      </c>
      <c r="P29">
        <v>40.049999999999997</v>
      </c>
      <c r="Q29" s="30">
        <v>0.3</v>
      </c>
      <c r="R29">
        <v>0.45</v>
      </c>
      <c r="S29" s="30">
        <f>P29*Q29*R29</f>
        <v>5.4067499999999997</v>
      </c>
    </row>
    <row r="30" spans="1:22" x14ac:dyDescent="0.3">
      <c r="M30" t="s">
        <v>73</v>
      </c>
      <c r="O30" t="s">
        <v>7</v>
      </c>
      <c r="P30">
        <v>183.16</v>
      </c>
      <c r="Q30">
        <v>0.15</v>
      </c>
      <c r="R30">
        <v>0.45</v>
      </c>
      <c r="S30" s="30">
        <f>P30*Q30*R30</f>
        <v>12.363300000000001</v>
      </c>
    </row>
    <row r="31" spans="1:22" x14ac:dyDescent="0.3">
      <c r="M31" t="s">
        <v>74</v>
      </c>
      <c r="O31" t="s">
        <v>7</v>
      </c>
      <c r="P31">
        <v>7.6</v>
      </c>
      <c r="Q31">
        <v>0.15</v>
      </c>
      <c r="R31">
        <v>0.6</v>
      </c>
      <c r="S31" s="30">
        <f>P31*Q31*R31</f>
        <v>0.68399999999999994</v>
      </c>
    </row>
    <row r="32" spans="1:22" x14ac:dyDescent="0.3">
      <c r="L32" s="23" t="s">
        <v>52</v>
      </c>
      <c r="M32" s="23"/>
      <c r="N32" s="23"/>
      <c r="O32" s="23"/>
      <c r="P32" s="23"/>
      <c r="Q32" s="23"/>
      <c r="R32" s="23"/>
      <c r="S32" s="23"/>
      <c r="T32" s="23"/>
      <c r="U32" s="23"/>
      <c r="V32" s="31">
        <f>SUM(S29:S31)</f>
        <v>18.454050000000002</v>
      </c>
    </row>
    <row r="33" spans="12:15" x14ac:dyDescent="0.3">
      <c r="L33" t="s">
        <v>15</v>
      </c>
      <c r="M33" t="s">
        <v>75</v>
      </c>
      <c r="O33" t="s">
        <v>16</v>
      </c>
    </row>
  </sheetData>
  <mergeCells count="3">
    <mergeCell ref="A8:F8"/>
    <mergeCell ref="B10:F10"/>
    <mergeCell ref="L9:V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paredes</dc:creator>
  <cp:lastModifiedBy>Samuel paredes</cp:lastModifiedBy>
  <dcterms:created xsi:type="dcterms:W3CDTF">2026-08-01T13:59:46Z</dcterms:created>
  <dcterms:modified xsi:type="dcterms:W3CDTF">2026-08-01T22:45:09Z</dcterms:modified>
</cp:coreProperties>
</file>